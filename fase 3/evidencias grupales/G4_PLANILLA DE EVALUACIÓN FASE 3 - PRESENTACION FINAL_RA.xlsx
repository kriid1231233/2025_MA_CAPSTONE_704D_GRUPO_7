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ocumentos\Docencia\DUOC\2025_2\CAPSTONE\Alumnos\Examen\"/>
    </mc:Choice>
  </mc:AlternateContent>
  <xr:revisionPtr revIDLastSave="0" documentId="8_{AAEE3814-39CD-4D9C-990A-A9617A2AB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F80" i="1"/>
  <c r="G80" i="1" s="1"/>
  <c r="E80" i="1"/>
  <c r="J79" i="1"/>
  <c r="K79" i="1" s="1"/>
  <c r="H79" i="1"/>
  <c r="I79" i="1" s="1"/>
  <c r="F79" i="1"/>
  <c r="G79" i="1" s="1"/>
  <c r="E79" i="1"/>
  <c r="J78" i="1"/>
  <c r="K78" i="1" s="1"/>
  <c r="H78" i="1"/>
  <c r="I78" i="1" s="1"/>
  <c r="F78" i="1"/>
  <c r="G78" i="1" s="1"/>
  <c r="E78" i="1"/>
  <c r="J71" i="1"/>
  <c r="K71" i="1" s="1"/>
  <c r="H71" i="1"/>
  <c r="I71" i="1" s="1"/>
  <c r="F71" i="1"/>
  <c r="G71" i="1" s="1"/>
  <c r="E71" i="1"/>
  <c r="J70" i="1"/>
  <c r="K70" i="1" s="1"/>
  <c r="H70" i="1"/>
  <c r="I70" i="1" s="1"/>
  <c r="F70" i="1"/>
  <c r="G70" i="1" s="1"/>
  <c r="E70" i="1"/>
  <c r="J69" i="1"/>
  <c r="K69" i="1" s="1"/>
  <c r="H69" i="1"/>
  <c r="I69" i="1" s="1"/>
  <c r="F69" i="1"/>
  <c r="G69" i="1" s="1"/>
  <c r="E69" i="1"/>
  <c r="J68" i="1"/>
  <c r="K68" i="1" s="1"/>
  <c r="H68" i="1"/>
  <c r="I68" i="1" s="1"/>
  <c r="F68" i="1"/>
  <c r="G68" i="1" s="1"/>
  <c r="E68" i="1"/>
  <c r="J67" i="1"/>
  <c r="K67" i="1" s="1"/>
  <c r="H67" i="1"/>
  <c r="I67" i="1" s="1"/>
  <c r="F67" i="1"/>
  <c r="G67" i="1" s="1"/>
  <c r="E67" i="1"/>
  <c r="J66" i="1"/>
  <c r="K66" i="1" s="1"/>
  <c r="H66" i="1"/>
  <c r="I66" i="1" s="1"/>
  <c r="F66" i="1"/>
  <c r="G66" i="1" s="1"/>
  <c r="E66" i="1"/>
  <c r="J65" i="1"/>
  <c r="K65" i="1" s="1"/>
  <c r="H65" i="1"/>
  <c r="I65" i="1" s="1"/>
  <c r="F65" i="1"/>
  <c r="G65" i="1" s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E58" i="1"/>
  <c r="J57" i="1"/>
  <c r="K57" i="1" s="1"/>
  <c r="H57" i="1"/>
  <c r="I57" i="1" s="1"/>
  <c r="F57" i="1"/>
  <c r="G57" i="1" s="1"/>
  <c r="E57" i="1"/>
  <c r="J56" i="1"/>
  <c r="K56" i="1" s="1"/>
  <c r="H56" i="1"/>
  <c r="I56" i="1" s="1"/>
  <c r="F56" i="1"/>
  <c r="G56" i="1" s="1"/>
  <c r="E56" i="1"/>
  <c r="J55" i="1"/>
  <c r="K55" i="1" s="1"/>
  <c r="H55" i="1"/>
  <c r="I55" i="1" s="1"/>
  <c r="F55" i="1"/>
  <c r="G55" i="1" s="1"/>
  <c r="E55" i="1"/>
  <c r="J54" i="1"/>
  <c r="K54" i="1" s="1"/>
  <c r="H54" i="1"/>
  <c r="I54" i="1" s="1"/>
  <c r="F54" i="1"/>
  <c r="G54" i="1" s="1"/>
  <c r="E54" i="1"/>
  <c r="J53" i="1"/>
  <c r="K53" i="1" s="1"/>
  <c r="H53" i="1"/>
  <c r="I53" i="1" s="1"/>
  <c r="F53" i="1"/>
  <c r="G53" i="1" s="1"/>
  <c r="E53" i="1"/>
  <c r="J52" i="1"/>
  <c r="K52" i="1" s="1"/>
  <c r="H52" i="1"/>
  <c r="I52" i="1" s="1"/>
  <c r="F52" i="1"/>
  <c r="G52" i="1" s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J45" i="1"/>
  <c r="K45" i="1" s="1"/>
  <c r="H45" i="1"/>
  <c r="I45" i="1" s="1"/>
  <c r="G45" i="1"/>
  <c r="E45" i="1"/>
  <c r="J44" i="1"/>
  <c r="K44" i="1" s="1"/>
  <c r="I44" i="1"/>
  <c r="H44" i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E40" i="1"/>
  <c r="J39" i="1"/>
  <c r="K39" i="1" s="1"/>
  <c r="H39" i="1"/>
  <c r="I39" i="1" s="1"/>
  <c r="F39" i="1"/>
  <c r="G39" i="1" s="1"/>
  <c r="E39" i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E27" i="1"/>
  <c r="J26" i="1"/>
  <c r="K26" i="1" s="1"/>
  <c r="H26" i="1"/>
  <c r="I26" i="1" s="1"/>
  <c r="F26" i="1"/>
  <c r="G26" i="1" s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<sst xmlns="http://schemas.openxmlformats.org/spreadsheetml/2006/main" count="190" uniqueCount="67">
  <si>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</si>
  <si>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</si>
  <si>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</si>
  <si>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</si>
  <si>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</si>
  <si>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</si>
  <si>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</si>
  <si>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</si>
  <si>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</si>
  <si>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</si>
  <si>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</si>
  <si>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</si>
  <si>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</si>
  <si>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</si>
  <si>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</si>
  <si>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</si>
  <si>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</si>
  <si>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</si>
  <si>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</si>
  <si>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</si>
  <si>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</si>
  <si>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</si>
  <si>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</si>
  <si>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</si>
  <si>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</si>
  <si>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</si>
  <si>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</si>
  <si>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</si>
  <si>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</si>
  <si>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</si>
  <si>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</si>
  <si>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</si>
  <si>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</si>
  <si>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</si>
  <si>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</si>
  <si>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</si>
  <si>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</si>
  <si>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</si>
  <si>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</si>
  <si>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</si>
  <si>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</si>
  <si>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</si>
  <si>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</si>
  <si>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</si>
  <si>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</si>
  <si>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</si>
  <si>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</si>
  <si>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</si>
  <si>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</si>
  <si>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</si>
  <si>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</si>
  <si>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</si>
  <si>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</si>
  <si>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</si>
  <si>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</si>
  <si>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</si>
  <si>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</si>
  <si>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</si>
  <si>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</si>
  <si>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</si>
  <si>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</si>
  <si>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</si>
  <si>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</si>
  <si>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</si>
  <si>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Martin Diaz</t>
  </si>
  <si>
    <t>Gabriel Galvez</t>
  </si>
  <si>
    <t>José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</si>
</sst>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4" sqref="B4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66</v>
      </c>
      <c r="C4" s="31">
        <f>C21</f>
        <v>6.3</v>
      </c>
      <c r="D4" s="37">
        <f>C60</f>
        <v>5.0999999999999996</v>
      </c>
      <c r="E4" s="36">
        <f>C4*C$2+D4*D$2</f>
        <v>5.9399999999999995</v>
      </c>
    </row>
    <row r="5" spans="1:11" ht="14.4" x14ac:dyDescent="0.3">
      <c r="A5" s="3">
        <v>2</v>
      </c>
      <c r="B5" s="16" t="s">
        <v>64</v>
      </c>
      <c r="C5" s="31">
        <f>C34</f>
        <v>6.4</v>
      </c>
      <c r="D5" s="37" t="e">
        <f>C73</f>
        <v>#N/A</v>
      </c>
      <c r="E5" s="36" t="e">
        <f t="shared" ref="E5:E6" si="0">C5*C$2+D5*D$2</f>
        <v>#N/A</v>
      </c>
    </row>
    <row r="6" spans="1:11" ht="14.4" x14ac:dyDescent="0.3">
      <c r="A6" s="3">
        <v>3</v>
      </c>
      <c r="B6" s="16" t="s">
        <v>65</v>
      </c>
      <c r="C6" s="31">
        <f>C47</f>
        <v>6.4</v>
      </c>
      <c r="D6" s="37" t="e">
        <f>C86</f>
        <v>#N/A</v>
      </c>
      <c r="E6" s="36" t="e">
        <f t="shared" si="0"/>
        <v>#N/A</v>
      </c>
    </row>
    <row r="11" spans="1:11" ht="18" outlineLevel="1" x14ac:dyDescent="0.3">
      <c r="A11" s="48" t="s">
        <v>4</v>
      </c>
      <c r="B11" s="11" t="str">
        <f>B4</f>
        <v>José Jimenez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63</v>
      </c>
      <c r="E13" s="12">
        <f>IF(D13="X",100*0.15,"")</f>
        <v>15</v>
      </c>
      <c r="F13" s="12" t="str">
        <f t="shared" ref="F13:F14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63</v>
      </c>
      <c r="E14" s="12">
        <f>IF(D14="X",100*0.25,"")</f>
        <v>25</v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63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63</v>
      </c>
      <c r="G17" s="12">
        <f>IF(F17="X",60*0.05,"")</f>
        <v>3</v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63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63</v>
      </c>
      <c r="E19" s="12">
        <f>IF(D19="X",100*0.1,"")</f>
        <v>10</v>
      </c>
      <c r="F19" s="12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6.3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Martin Diaz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63</v>
      </c>
      <c r="E26" s="12">
        <f>IF(D26="X",100*0.15,"")</f>
        <v>15</v>
      </c>
      <c r="F26" s="12" t="str">
        <f t="shared" ref="F26:F27" si="6">IF($C26=L,"X","")</f>
        <v/>
      </c>
      <c r="G26" s="12" t="str">
        <f>IF(F26="X",60*0.15,"")</f>
        <v/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63</v>
      </c>
      <c r="E27" s="12">
        <f>IF(D27="X",100*0.25,"")</f>
        <v>25</v>
      </c>
      <c r="F27" s="12" t="str">
        <f t="shared" si="6"/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63</v>
      </c>
      <c r="E28" s="12">
        <f>IF(D28="X",100*0.2,"")</f>
        <v>20</v>
      </c>
      <c r="F28" s="12"/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63</v>
      </c>
      <c r="G29" s="12">
        <f>IF(F29="X",60*0.05,"")</f>
        <v>3</v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63</v>
      </c>
      <c r="G30" s="12">
        <f>IF(F30="X",60*0.05,"")</f>
        <v>3</v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63</v>
      </c>
      <c r="E31" s="12">
        <f>IF(D31="X",100*0.2,"")</f>
        <v>20</v>
      </c>
      <c r="F31" s="12"/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63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5">
      <c r="A33" s="40"/>
      <c r="B33" s="18" t="s">
        <v>12</v>
      </c>
      <c r="C33" s="22">
        <f>E33+G33+I33+K33</f>
        <v>92</v>
      </c>
      <c r="D33" s="13"/>
      <c r="E33" s="13">
        <f>SUM(E26:E32)</f>
        <v>80</v>
      </c>
      <c r="F33" s="13"/>
      <c r="G33" s="13">
        <f>SUM(G26:G32)</f>
        <v>12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6.4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Gabriel Galvez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">
        <v>63</v>
      </c>
      <c r="E39" s="12">
        <f>IF(D39="X",100*0.15,"")</f>
        <v>15</v>
      </c>
      <c r="F39" s="12" t="str">
        <f t="shared" ref="F39:F40" si="10">IF($C39=L,"X","")</f>
        <v/>
      </c>
      <c r="G39" s="12" t="str">
        <f>IF(F39="X",60*0.15,"")</f>
        <v/>
      </c>
      <c r="H39" s="12" t="str">
        <f t="shared" ref="H39:H43" si="11">IF($C39=ML,"X","")</f>
        <v/>
      </c>
      <c r="I39" s="12" t="str">
        <f>IF(H39="X",30*0.15,"")</f>
        <v/>
      </c>
      <c r="J39" s="12" t="str">
        <f t="shared" ref="J39:J43" si="12">IF($C39=NL,"X","")</f>
        <v/>
      </c>
      <c r="K39" s="12" t="str">
        <f t="shared" ref="K39:K45" si="13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">
        <v>63</v>
      </c>
      <c r="E40" s="12">
        <f>IF(D40="X",100*0.25,"")</f>
        <v>25</v>
      </c>
      <c r="F40" s="12" t="str">
        <f t="shared" si="10"/>
        <v/>
      </c>
      <c r="G40" s="12" t="str">
        <f>IF(F40="X",60*0.25,"")</f>
        <v/>
      </c>
      <c r="H40" s="12" t="str">
        <f t="shared" si="11"/>
        <v/>
      </c>
      <c r="I40" s="12" t="str">
        <f>IF(H40="X",30*0.25,"")</f>
        <v/>
      </c>
      <c r="J40" s="12" t="str">
        <f t="shared" si="12"/>
        <v/>
      </c>
      <c r="K40" s="12" t="str">
        <f t="shared" si="13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1"/>
        <v/>
      </c>
      <c r="I41" s="12" t="str">
        <f>IF(H41="X",30*0.2,"")</f>
        <v/>
      </c>
      <c r="J41" s="12" t="str">
        <f t="shared" si="12"/>
        <v/>
      </c>
      <c r="K41" s="12" t="str">
        <f t="shared" si="13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">
        <v>63</v>
      </c>
      <c r="E42" s="12">
        <f>IF(D42="X",100*0.05,"")</f>
        <v>5</v>
      </c>
      <c r="F42" s="12"/>
      <c r="G42" s="12" t="str">
        <f>IF(F42="X",60*0.05,"")</f>
        <v/>
      </c>
      <c r="H42" s="12" t="str">
        <f t="shared" si="11"/>
        <v/>
      </c>
      <c r="I42" s="12" t="str">
        <f>IF(H42="X",30*0.05,"")</f>
        <v/>
      </c>
      <c r="J42" s="12" t="str">
        <f t="shared" si="12"/>
        <v/>
      </c>
      <c r="K42" s="12" t="str">
        <f t="shared" si="13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">
        <v>63</v>
      </c>
      <c r="E43" s="12">
        <f>IF(D43="X",100*0.05,"")</f>
        <v>5</v>
      </c>
      <c r="F43" s="12"/>
      <c r="G43" s="12" t="str">
        <f>IF(F43="X",60*0.05,"")</f>
        <v/>
      </c>
      <c r="H43" s="12" t="str">
        <f t="shared" si="11"/>
        <v/>
      </c>
      <c r="I43" s="12" t="str">
        <f>IF(H43="X",30*0.05,"")</f>
        <v/>
      </c>
      <c r="J43" s="12" t="str">
        <f t="shared" si="12"/>
        <v/>
      </c>
      <c r="K43" s="12" t="str">
        <f t="shared" si="13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">
        <v>63</v>
      </c>
      <c r="E44" s="12">
        <f>IF(D44="X",100*0.2,"")</f>
        <v>20</v>
      </c>
      <c r="F44" s="12"/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3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">
        <v>63</v>
      </c>
      <c r="E45" s="12">
        <f>IF(D45="X",100*0.1,"")</f>
        <v>10</v>
      </c>
      <c r="F45" s="12"/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3"/>
        <v/>
      </c>
    </row>
    <row r="46" spans="1:11" ht="24" customHeight="1" x14ac:dyDescent="0.35">
      <c r="A46" s="40"/>
      <c r="B46" s="18" t="s">
        <v>12</v>
      </c>
      <c r="C46" s="22">
        <f>E46+G46+I46+K46</f>
        <v>92</v>
      </c>
      <c r="D46" s="13"/>
      <c r="E46" s="13">
        <f>SUM(E39:E45)</f>
        <v>80</v>
      </c>
      <c r="F46" s="13"/>
      <c r="G46" s="13">
        <f>SUM(G39:G45)</f>
        <v>12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6.4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José Jimenez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63</v>
      </c>
      <c r="E52" s="12">
        <f>IF(D52="X",100*0.15,"")</f>
        <v>15</v>
      </c>
      <c r="F52" s="12" t="str">
        <f t="shared" ref="F52:F56" si="14">IF($C52=L,"X","")</f>
        <v/>
      </c>
      <c r="G52" s="12" t="str">
        <f>IF(F52="X",60*0.15,"")</f>
        <v/>
      </c>
      <c r="H52" s="12" t="str">
        <f t="shared" ref="H52:H56" si="15">IF($C52=ML,"X","")</f>
        <v/>
      </c>
      <c r="I52" s="12" t="str">
        <f>IF(H52="X",30*0.15,"")</f>
        <v/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63</v>
      </c>
      <c r="E53" s="12">
        <f>IF(D53="X",100*0.25,"")</f>
        <v>25</v>
      </c>
      <c r="F53" s="12" t="str">
        <f t="shared" si="14"/>
        <v/>
      </c>
      <c r="G53" s="12" t="str">
        <f>IF(F53="X",60*0.25,"")</f>
        <v/>
      </c>
      <c r="H53" s="12" t="str">
        <f t="shared" si="15"/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tr">
        <f t="shared" si="14"/>
        <v/>
      </c>
      <c r="G54" s="12" t="str">
        <f>IF(F54="X",60*0.2,"")</f>
        <v/>
      </c>
      <c r="H54" s="12" t="str">
        <f t="shared" si="15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63</v>
      </c>
      <c r="E55" s="12">
        <f>IF(D55="X",100*0.05,"")</f>
        <v>5</v>
      </c>
      <c r="F55" s="12" t="str">
        <f t="shared" si="14"/>
        <v/>
      </c>
      <c r="G55" s="12" t="str">
        <f>IF(F55="X",60*0.05,"")</f>
        <v/>
      </c>
      <c r="H55" s="12" t="str">
        <f t="shared" si="15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tr">
        <f t="shared" si="14"/>
        <v/>
      </c>
      <c r="G56" s="12" t="str">
        <f>IF(F56="X",60*0.05,"")</f>
        <v/>
      </c>
      <c r="H56" s="12" t="str">
        <f t="shared" si="15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63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7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">
        <v>63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5">
      <c r="A59" s="40"/>
      <c r="B59" s="18" t="s">
        <v>12</v>
      </c>
      <c r="C59" s="22">
        <f>E59+G59+I59+K59</f>
        <v>75</v>
      </c>
      <c r="D59" s="13"/>
      <c r="E59" s="13">
        <f>SUM(E52:E58)</f>
        <v>75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5.0999999999999996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Martin Diaz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tr">
        <f t="shared" ref="F65:F69" si="18">IF($C65=L,"X","")</f>
        <v/>
      </c>
      <c r="G65" s="12" t="str">
        <f>IF(F65="X",60*0.15,"")</f>
        <v/>
      </c>
      <c r="H65" s="12" t="str">
        <f t="shared" ref="H65:H69" si="19">IF($C65=ML,"X","")</f>
        <v/>
      </c>
      <c r="I65" s="12" t="str">
        <f>IF(H65="X",30*0.15,"")</f>
        <v/>
      </c>
      <c r="J65" s="12" t="str">
        <f t="shared" ref="J65:J69" si="20">IF($C65=NL,"X","")</f>
        <v/>
      </c>
      <c r="K65" s="12" t="str">
        <f t="shared" ref="K65:K71" si="21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tr">
        <f t="shared" si="18"/>
        <v/>
      </c>
      <c r="G66" s="12" t="str">
        <f>IF(F66="X",60*0.25,"")</f>
        <v/>
      </c>
      <c r="H66" s="12" t="str">
        <f t="shared" si="19"/>
        <v/>
      </c>
      <c r="I66" s="12" t="str">
        <f>IF(H66="X",30*0.25,"")</f>
        <v/>
      </c>
      <c r="J66" s="12" t="str">
        <f t="shared" si="20"/>
        <v/>
      </c>
      <c r="K66" s="12" t="str">
        <f t="shared" si="21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tr">
        <f t="shared" si="18"/>
        <v/>
      </c>
      <c r="G67" s="12" t="str">
        <f>IF(F67="X",60*0.2,"")</f>
        <v/>
      </c>
      <c r="H67" s="12" t="str">
        <f t="shared" si="19"/>
        <v/>
      </c>
      <c r="I67" s="12" t="str">
        <f>IF(H67="X",30*0.2,"")</f>
        <v/>
      </c>
      <c r="J67" s="12" t="str">
        <f t="shared" si="20"/>
        <v/>
      </c>
      <c r="K67" s="12" t="str">
        <f t="shared" si="21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tr">
        <f t="shared" si="18"/>
        <v/>
      </c>
      <c r="G68" s="12" t="str">
        <f>IF(F68="X",60*0.05,"")</f>
        <v/>
      </c>
      <c r="H68" s="12" t="str">
        <f t="shared" si="19"/>
        <v/>
      </c>
      <c r="I68" s="12" t="str">
        <f>IF(H68="X",30*0.05,"")</f>
        <v/>
      </c>
      <c r="J68" s="12" t="str">
        <f t="shared" si="20"/>
        <v/>
      </c>
      <c r="K68" s="12" t="str">
        <f t="shared" si="21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tr">
        <f t="shared" si="18"/>
        <v/>
      </c>
      <c r="G69" s="12" t="str">
        <f>IF(F69="X",60*0.05,"")</f>
        <v/>
      </c>
      <c r="H69" s="12" t="str">
        <f t="shared" si="19"/>
        <v/>
      </c>
      <c r="I69" s="12" t="str">
        <f>IF(H69="X",30*0.05,"")</f>
        <v/>
      </c>
      <c r="J69" s="12" t="str">
        <f t="shared" si="20"/>
        <v/>
      </c>
      <c r="K69" s="12" t="str">
        <f t="shared" si="21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1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1"/>
        <v/>
      </c>
    </row>
    <row r="72" spans="1:11" ht="24" customHeight="1" x14ac:dyDescent="0.35">
      <c r="A72" s="40"/>
      <c r="B72" s="18" t="s">
        <v>12</v>
      </c>
      <c r="C72" s="22">
        <f>E72+G72+I72+K72</f>
        <v>0</v>
      </c>
      <c r="D72" s="13"/>
      <c r="E72" s="13">
        <f>SUM(E65:E71)</f>
        <v>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 t="e">
        <f>VLOOKUP(C72,ESCALA_IEP!A54:B254,2,FALSE)</f>
        <v>#N/A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Gabriel Galvez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22">IF($C78=L,"X","")</f>
        <v/>
      </c>
      <c r="G78" s="12" t="str">
        <f>IF(F78="X",60*0.15,"")</f>
        <v/>
      </c>
      <c r="H78" s="12" t="str">
        <f t="shared" ref="H78:H82" si="23">IF($C78=ML,"X","")</f>
        <v/>
      </c>
      <c r="I78" s="12" t="str">
        <f>IF(H78="X",30*0.15,"")</f>
        <v/>
      </c>
      <c r="J78" s="12" t="str">
        <f t="shared" ref="J78:J82" si="24">IF($C78=NL,"X","")</f>
        <v/>
      </c>
      <c r="K78" s="12" t="str">
        <f t="shared" ref="K78:K84" si="25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tr">
        <f t="shared" si="22"/>
        <v/>
      </c>
      <c r="G79" s="12" t="str">
        <f>IF(F79="X",60*0.25,"")</f>
        <v/>
      </c>
      <c r="H79" s="12" t="str">
        <f t="shared" si="23"/>
        <v/>
      </c>
      <c r="I79" s="12" t="str">
        <f>IF(H79="X",30*0.25,"")</f>
        <v/>
      </c>
      <c r="J79" s="12" t="str">
        <f t="shared" si="24"/>
        <v/>
      </c>
      <c r="K79" s="12" t="str">
        <f t="shared" si="25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tr">
        <f t="shared" si="22"/>
        <v/>
      </c>
      <c r="G80" s="12" t="str">
        <f>IF(F80="X",60*0.2,"")</f>
        <v/>
      </c>
      <c r="H80" s="12" t="str">
        <f t="shared" si="23"/>
        <v/>
      </c>
      <c r="I80" s="12" t="str">
        <f>IF(H80="X",30*0.2,"")</f>
        <v/>
      </c>
      <c r="J80" s="12" t="str">
        <f t="shared" si="24"/>
        <v/>
      </c>
      <c r="K80" s="12" t="str">
        <f t="shared" si="25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tr">
        <f t="shared" si="22"/>
        <v/>
      </c>
      <c r="G81" s="12" t="str">
        <f>IF(F81="X",60*0.05,"")</f>
        <v/>
      </c>
      <c r="H81" s="12" t="str">
        <f t="shared" si="23"/>
        <v/>
      </c>
      <c r="I81" s="12" t="str">
        <f>IF(H81="X",30*0.05,"")</f>
        <v/>
      </c>
      <c r="J81" s="12" t="str">
        <f t="shared" si="24"/>
        <v/>
      </c>
      <c r="K81" s="12" t="str">
        <f t="shared" si="25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tr">
        <f t="shared" si="22"/>
        <v/>
      </c>
      <c r="G82" s="12" t="str">
        <f>IF(F82="X",60*0.05,"")</f>
        <v/>
      </c>
      <c r="H82" s="12" t="str">
        <f t="shared" si="23"/>
        <v/>
      </c>
      <c r="I82" s="12" t="str">
        <f>IF(H82="X",30*0.05,"")</f>
        <v/>
      </c>
      <c r="J82" s="12" t="str">
        <f t="shared" si="24"/>
        <v/>
      </c>
      <c r="K82" s="12" t="str">
        <f t="shared" si="25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5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5"/>
        <v/>
      </c>
    </row>
    <row r="85" spans="1:11" ht="24" customHeight="1" x14ac:dyDescent="0.35">
      <c r="A85" s="40"/>
      <c r="B85" s="18" t="s">
        <v>12</v>
      </c>
      <c r="C85" s="22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 t="e">
        <f>VLOOKUP(C85,ESCALA_IEP!A67:B267,2,FALSE)</f>
        <v>#N/A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0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Ricardo Aravena V.</cp:lastModifiedBy>
  <cp:revision/>
  <dcterms:created xsi:type="dcterms:W3CDTF">2023-08-07T04:08:01Z</dcterms:created>
  <dcterms:modified xsi:type="dcterms:W3CDTF">2025-12-11T12:45:56Z</dcterms:modified>
  <cp:category/>
  <cp:contentStatus/>
</cp:coreProperties>
</file>